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ka.b.agrawal\Downloads\"/>
    </mc:Choice>
  </mc:AlternateContent>
  <xr:revisionPtr revIDLastSave="0" documentId="8_{2C7BB50C-48DB-47DE-A564-53CBC2636FC2}" xr6:coauthVersionLast="47" xr6:coauthVersionMax="47" xr10:uidLastSave="{00000000-0000-0000-0000-000000000000}"/>
  <bookViews>
    <workbookView xWindow="-110" yWindow="-110" windowWidth="19420" windowHeight="10300" xr2:uid="{6187333E-9626-4616-8A8A-811ECBEA0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4" i="1" s="1"/>
  <c r="E15" i="1" s="1"/>
  <c r="F13" i="1"/>
  <c r="F14" i="1" s="1"/>
  <c r="F15" i="1" s="1"/>
  <c r="D13" i="1"/>
  <c r="D14" i="1" s="1"/>
  <c r="D15" i="1" s="1"/>
  <c r="F16" i="1" l="1"/>
  <c r="F17" i="1" s="1"/>
  <c r="F18" i="1" s="1"/>
  <c r="D16" i="1"/>
  <c r="D17" i="1" s="1"/>
  <c r="D18" i="1" s="1"/>
  <c r="E16" i="1"/>
  <c r="E17" i="1" s="1"/>
  <c r="E18" i="1" s="1"/>
</calcChain>
</file>

<file path=xl/sharedStrings.xml><?xml version="1.0" encoding="utf-8"?>
<sst xmlns="http://schemas.openxmlformats.org/spreadsheetml/2006/main" count="20" uniqueCount="19">
  <si>
    <t>Parameters</t>
  </si>
  <si>
    <t>Discount</t>
  </si>
  <si>
    <t>COGS</t>
  </si>
  <si>
    <t>Customer</t>
  </si>
  <si>
    <t>Croma</t>
  </si>
  <si>
    <t>Product(s)</t>
  </si>
  <si>
    <t>Date</t>
  </si>
  <si>
    <t>Average NIP</t>
  </si>
  <si>
    <t>GM Target</t>
  </si>
  <si>
    <t>Best Case</t>
  </si>
  <si>
    <t>Realistic</t>
  </si>
  <si>
    <t>Worst Case</t>
  </si>
  <si>
    <t>Sales Unit</t>
  </si>
  <si>
    <t>P1</t>
  </si>
  <si>
    <t>Net Invoice Sales</t>
  </si>
  <si>
    <t>Post Discount</t>
  </si>
  <si>
    <t>Net Sales</t>
  </si>
  <si>
    <t>Gross Margin</t>
  </si>
  <si>
    <t>vs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</si>
</sst>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  <numFmt numFmtId="166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0" fillId="3" borderId="0" xfId="0" applyFill="1"/>
    <xf numFmtId="0" fontId="0" fillId="2" borderId="0" xfId="0" applyFill="1"/>
    <xf numFmtId="0" fontId="2" fillId="2" borderId="0" xfId="0" applyFont="1" applyFill="1" applyAlignment="1">
      <alignment horizontal="center"/>
    </xf>
    <xf numFmtId="166" fontId="0" fillId="4" borderId="0" xfId="0" applyNumberFormat="1" applyFill="1" applyBorder="1"/>
    <xf numFmtId="0" fontId="0" fillId="0" borderId="3" xfId="0" applyBorder="1"/>
    <xf numFmtId="0" fontId="0" fillId="5" borderId="2" xfId="0" applyFill="1" applyBorder="1"/>
    <xf numFmtId="166" fontId="0" fillId="5" borderId="2" xfId="0" applyNumberFormat="1" applyFill="1" applyBorder="1"/>
    <xf numFmtId="0" fontId="0" fillId="4" borderId="0" xfId="0" applyFill="1"/>
    <xf numFmtId="166" fontId="0" fillId="5" borderId="4" xfId="0" applyNumberFormat="1" applyFill="1" applyBorder="1"/>
    <xf numFmtId="9" fontId="0" fillId="3" borderId="0" xfId="2" applyFont="1" applyFill="1"/>
    <xf numFmtId="9" fontId="0" fillId="3" borderId="0" xfId="0" applyNumberFormat="1" applyFill="1"/>
    <xf numFmtId="165" fontId="0" fillId="3" borderId="0" xfId="1" applyNumberFormat="1" applyFont="1" applyFill="1"/>
    <xf numFmtId="166" fontId="0" fillId="3" borderId="0" xfId="1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A133C2D-CC36-49A0-85CE-933287B292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6913-8639-4000-872D-CAE93087F5CE}">
  <dimension ref="C3:G18"/>
  <sheetViews>
    <sheetView tabSelected="1" zoomScale="92" zoomScaleNormal="205" workbookViewId="0">
      <selection activeCell="I10" sqref="I10"/>
    </sheetView>
  </sheetViews>
  <sheetFormatPr defaultRowHeight="14.5" x14ac:dyDescent="0.35"/>
  <cols>
    <col min="2" max="2" width="14" customWidth="1"/>
    <col min="3" max="3" width="16.26953125" bestFit="1" customWidth="1"/>
    <col min="4" max="4" width="16.54296875" bestFit="1" customWidth="1"/>
    <col min="5" max="5" width="15" bestFit="1" customWidth="1"/>
    <col min="6" max="6" width="16" customWidth="1"/>
    <col min="7" max="7" width="14.54296875" customWidth="1"/>
  </cols>
  <sheetData>
    <row r="3" spans="3:7" x14ac:dyDescent="0.35">
      <c r="C3" s="1" t="s">
        <v>3</v>
      </c>
      <c r="D3" s="3" t="s">
        <v>4</v>
      </c>
    </row>
    <row r="4" spans="3:7" x14ac:dyDescent="0.35">
      <c r="C4" s="1" t="s">
        <v>5</v>
      </c>
      <c r="D4" s="3" t="s">
        <v>13</v>
      </c>
    </row>
    <row r="5" spans="3:7" x14ac:dyDescent="0.35">
      <c r="C5" s="2" t="s">
        <v>6</v>
      </c>
      <c r="D5" s="3"/>
    </row>
    <row r="8" spans="3:7" x14ac:dyDescent="0.35">
      <c r="D8" s="4" t="s">
        <v>1</v>
      </c>
      <c r="E8" s="4" t="s">
        <v>2</v>
      </c>
      <c r="F8" s="4" t="s">
        <v>7</v>
      </c>
      <c r="G8" s="4" t="s">
        <v>8</v>
      </c>
    </row>
    <row r="9" spans="3:7" x14ac:dyDescent="0.35">
      <c r="C9" s="4" t="s">
        <v>0</v>
      </c>
      <c r="D9" s="12">
        <v>0.1</v>
      </c>
      <c r="E9" s="13">
        <v>0.3</v>
      </c>
      <c r="F9" s="14">
        <v>6</v>
      </c>
      <c r="G9" s="15">
        <v>100000</v>
      </c>
    </row>
    <row r="11" spans="3:7" x14ac:dyDescent="0.35">
      <c r="D11" s="5" t="s">
        <v>9</v>
      </c>
      <c r="E11" s="5" t="s">
        <v>10</v>
      </c>
      <c r="F11" s="5" t="s">
        <v>11</v>
      </c>
    </row>
    <row r="12" spans="3:7" x14ac:dyDescent="0.35">
      <c r="C12" s="4" t="s">
        <v>12</v>
      </c>
      <c r="D12" s="8">
        <v>100000</v>
      </c>
      <c r="E12" s="8">
        <v>50000</v>
      </c>
      <c r="F12" s="8">
        <v>25000</v>
      </c>
    </row>
    <row r="13" spans="3:7" x14ac:dyDescent="0.35">
      <c r="C13" s="4" t="s">
        <v>14</v>
      </c>
      <c r="D13" s="9">
        <f>D12*$F$9</f>
        <v>600000</v>
      </c>
      <c r="E13" s="9">
        <f t="shared" ref="E13:F13" si="0">E12*$F$9</f>
        <v>300000</v>
      </c>
      <c r="F13" s="9">
        <f t="shared" si="0"/>
        <v>150000</v>
      </c>
    </row>
    <row r="14" spans="3:7" x14ac:dyDescent="0.35">
      <c r="C14" s="4" t="s">
        <v>15</v>
      </c>
      <c r="D14" s="9">
        <f>$D$9*D13</f>
        <v>60000</v>
      </c>
      <c r="E14" s="9">
        <f t="shared" ref="E14:F14" si="1">$D$9*E13</f>
        <v>30000</v>
      </c>
      <c r="F14" s="9">
        <f t="shared" si="1"/>
        <v>15000</v>
      </c>
    </row>
    <row r="15" spans="3:7" x14ac:dyDescent="0.35">
      <c r="C15" s="4" t="s">
        <v>16</v>
      </c>
      <c r="D15" s="9">
        <f>D13-D14</f>
        <v>540000</v>
      </c>
      <c r="E15" s="9">
        <f t="shared" ref="E15:F15" si="2">E13-E14</f>
        <v>270000</v>
      </c>
      <c r="F15" s="9">
        <f t="shared" si="2"/>
        <v>135000</v>
      </c>
      <c r="G15" s="7"/>
    </row>
    <row r="16" spans="3:7" x14ac:dyDescent="0.35">
      <c r="C16" s="4" t="s">
        <v>2</v>
      </c>
      <c r="D16" s="9">
        <f>D15*$E$9</f>
        <v>162000</v>
      </c>
      <c r="E16" s="9">
        <f t="shared" ref="E16:F16" si="3">E15*$E$9</f>
        <v>81000</v>
      </c>
      <c r="F16" s="9">
        <f t="shared" si="3"/>
        <v>40500</v>
      </c>
    </row>
    <row r="17" spans="3:6" x14ac:dyDescent="0.35">
      <c r="C17" s="4" t="s">
        <v>17</v>
      </c>
      <c r="D17" s="11">
        <f>D15-D16</f>
        <v>378000</v>
      </c>
      <c r="E17" s="11">
        <f t="shared" ref="E17:F17" si="4">E15-E16</f>
        <v>189000</v>
      </c>
      <c r="F17" s="11">
        <f t="shared" si="4"/>
        <v>94500</v>
      </c>
    </row>
    <row r="18" spans="3:6" x14ac:dyDescent="0.35">
      <c r="C18" s="10" t="s">
        <v>18</v>
      </c>
      <c r="D18" s="6">
        <f>D17-$G$9</f>
        <v>278000</v>
      </c>
      <c r="E18" s="6">
        <f t="shared" ref="E18:F18" si="5">E17-$G$9</f>
        <v>89000</v>
      </c>
      <c r="F18" s="6">
        <f t="shared" si="5"/>
        <v>-5500</v>
      </c>
    </row>
  </sheetData>
  <conditionalFormatting sqref="D18:F18">
    <cfRule type="cellIs" dxfId="1" priority="2" operator="less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BB1845C-495D-4AE5-B253-378E3C773404}">
            <x14:iconSet iconSet="3Triangles" custom="1">
              <x14:cfvo type="percent">
                <xm:f>0</xm:f>
              </x14:cfvo>
              <x14:cfvo type="percent">
                <xm:f>0</xm:f>
              </x14:cfvo>
              <x14:cfvo type="percent">
                <xm:f>0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D18:F18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E34AEC-F98E-449C-B2A1-3427C30D7C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0145E0-780A-4AAB-9E0F-90693F5A3383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3.xml><?xml version="1.0" encoding="utf-8"?>
<ds:datastoreItem xmlns:ds="http://schemas.openxmlformats.org/officeDocument/2006/customXml" ds:itemID="{59721D29-EFED-4850-AD6A-A09CCF438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Agrawal, Rishika</cp:lastModifiedBy>
  <cp:lastPrinted>2023-03-13T10:38:08Z</cp:lastPrinted>
  <dcterms:created xsi:type="dcterms:W3CDTF">2023-03-13T10:17:27Z</dcterms:created>
  <dcterms:modified xsi:type="dcterms:W3CDTF">2026-01-17T06:45:59Z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